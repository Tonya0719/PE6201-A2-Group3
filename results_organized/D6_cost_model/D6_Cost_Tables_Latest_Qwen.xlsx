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852ef8a83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st Comparison" sheetId="1" r:id="R06b76d2ab4a04be3"/>
    <x:sheet xmlns:r="http://schemas.openxmlformats.org/officeDocument/2006/relationships" name="Four-Lever Cost Ledger" sheetId="2" r:id="R141ff35ee8504743"/>
    <x:sheet xmlns:r="http://schemas.openxmlformats.org/officeDocument/2006/relationships" name="Sensitivity" sheetId="3" r:id="Ra19099c8417a42ae"/>
    <x:sheet xmlns:r="http://schemas.openxmlformats.org/officeDocument/2006/relationships" name="Break-even" sheetId="4" r:id="R3d43ffc09aa9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00"/>
    <x:numFmt numFmtId="201" formatCode="0.00%"/>
    <x:numFmt numFmtId="202" formatCode="#,##0.00"/>
    <x:numFmt numFmtId="203" formatCode="$0.000"/>
    <x:numFmt numFmtId="204" formatCode="$0.000000"/>
    <x:numFmt numFmtId="205" formatCode="$#,##0.00"/>
    <x:numFmt numFmtId="206" formatCode="0.000"/>
    <x:numFmt numFmtId="207" formatCode="#,##0"/>
    <x:numFmt numFmtId="208" formatCode="$0.00"/>
    <x:numFmt numFmtId="209" formatCode="0.00 &quot;pp&quot;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205" fontId="0" fillId="0" borderId="8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204" fontId="0" fillId="0" borderId="16" xfId="0" applyNumberFormat="1" applyFont="1" applyFill="1" applyBorder="1"/>
    <x:xf numFmtId="205" fontId="0" fillId="0" borderId="1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207" fontId="0" fillId="0" borderId="8" xfId="0" applyNumberFormat="1" applyFont="1" applyFill="1" applyBorder="1"/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207" fontId="0" fillId="0" borderId="1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208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3" xfId="0" applyNumberFormat="1" applyFont="1" applyFill="1" applyBorder="1"/>
    <x:xf numFmtId="0" fontId="0" fillId="0" borderId="14" xfId="0" applyNumberFormat="1" applyFont="1" applyFill="1" applyBorder="1"/>
    <x:xf numFmtId="0" fontId="2" fillId="3" borderId="15" xfId="0" applyNumberFormat="1" applyFont="1" applyFill="1" applyBorder="1"/>
    <x:xf numFmtId="208" fontId="0" fillId="0" borderId="16" xfId="0" applyNumberFormat="1" applyFont="1" applyFill="1" applyBorder="1"/>
    <x:xf numFmtId="0" fontId="0" fillId="0" borderId="17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09" fontId="0" fillId="0" borderId="8" xfId="0" applyNumberFormat="1" applyFont="1" applyFill="1" applyBorder="1"/>
    <x:xf numFmtId="209" fontId="0" fillId="0" borderId="16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9f92218a74792" /><Relationship Type="http://schemas.openxmlformats.org/officeDocument/2006/relationships/theme" Target="/xl/theme/theme1.xml" Id="R1819888a4c6840bc" /><Relationship Type="http://schemas.openxmlformats.org/officeDocument/2006/relationships/sharedStrings" Target="/xl/sharedStrings.xml" Id="R0f63e40490654204" /><Relationship Type="http://schemas.openxmlformats.org/officeDocument/2006/relationships/worksheet" Target="/xl/worksheets/sheet1.xml" Id="R06b76d2ab4a04be3" /><Relationship Type="http://schemas.openxmlformats.org/officeDocument/2006/relationships/worksheet" Target="/xl/worksheets/sheet2.xml" Id="R141ff35ee8504743" /><Relationship Type="http://schemas.openxmlformats.org/officeDocument/2006/relationships/worksheet" Target="/xl/worksheets/sheet3.xml" Id="Ra19099c8417a42ae" /><Relationship Type="http://schemas.openxmlformats.org/officeDocument/2006/relationships/worksheet" Target="/xl/worksheets/sheet4.xml" Id="R3d43ffc09aa9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" hidden="0" customWidth="1"/>
    <x:col min="3" max="3" width="9" hidden="0" customWidth="1"/>
    <x:col min="4" max="4" width="11" hidden="0" customWidth="1"/>
    <x:col min="5" max="5" width="17" hidden="0" customWidth="1"/>
    <x:col min="6" max="6" width="18" hidden="0" customWidth="1"/>
    <x:col min="7" max="7" width="11" hidden="0" customWidth="1"/>
    <x:col min="8" max="8" width="11" hidden="0" customWidth="1"/>
    <x:col min="9" max="9" width="18" hidden="0" customWidth="1"/>
    <x:col min="10" max="10" width="21" hidden="0" customWidth="1"/>
    <x:col min="11" max="11" width="17" hidden="0" customWidth="1"/>
    <x:col min="12" max="12" width="17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1" ht="26" customHeight="1">
      <x:c r="A1" s="5" t="str">
        <x:v>D6 Model Cost Comparison — Latest data incl. Qwen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3">
      <x:c r="A3" s="18" t="str">
        <x:v>Monthly volume</x:v>
      </x:c>
      <x:c r="B3" s="19" t="n">
        <x:v>8000</x:v>
      </x:c>
      <x:c r="C3" s="20" t="str">
        <x:v>claims/month</x:v>
      </x:c>
    </x:row>
    <x:row r="4">
      <x:c r="A4" s="21" t="str">
        <x:v>Failure cost</x:v>
      </x:c>
      <x:c r="B4" s="34" t="n">
        <x:v>7.6</x:v>
      </x:c>
      <x:c r="C4" s="22" t="str">
        <x:v>USD/failure</x:v>
      </x:c>
    </x:row>
    <x:row r="5">
      <x:c r="A5" s="21" t="str">
        <x:v>Layer 3 fixed monthly cost</x:v>
      </x:c>
      <x:c r="B5" s="34" t="n">
        <x:v>0</x:v>
      </x:c>
      <x:c r="C5" s="22" t="str">
        <x:v>USD/month</x:v>
      </x:c>
    </x:row>
    <x:row r="6">
      <x:c r="A6" s="21" t="str">
        <x:v>Tool/retrieval fee</x:v>
      </x:c>
      <x:c r="B6" s="34" t="n">
        <x:v>0</x:v>
      </x:c>
      <x:c r="C6" s="22" t="str">
        <x:v>USD/task</x:v>
      </x:c>
    </x:row>
    <x:row r="7">
      <x:c r="A7" s="21" t="str">
        <x:v>Price source</x:v>
      </x:c>
      <x:c r="B7" s="15" t="str">
        <x:v>OpenRouter</x:v>
      </x:c>
      <x:c r="C7" s="22" t="str">
        <x:v>Original six verified 2026-09-17; Qwen uses ZIP snapshot marked provisional</x:v>
      </x:c>
    </x:row>
    <x:row r="8">
      <x:c r="A8" s="23" t="str">
        <x:v>Source file</x:v>
      </x:c>
      <x:c r="B8" s="24" t="str">
        <x:v>cost_analysis_complete13.py</x:v>
      </x:c>
      <x:c r="C8" s="25" t="str">
        <x:v>Latest model/cost basis used for this workbook</x:v>
      </x:c>
    </x:row>
    <x:row r="10">
      <x:c r="A10" s="56" t="str">
        <x:v>Model</x:v>
      </x:c>
      <x:c r="B10" s="57" t="str">
        <x:v>Trials</x:v>
      </x:c>
      <x:c r="C10" s="57" t="str">
        <x:v>Passed</x:v>
      </x:c>
      <x:c r="D10" s="57" t="str">
        <x:v>Pass Rate</x:v>
      </x:c>
      <x:c r="E10" s="57" t="str">
        <x:v>Input Tokens/Task</x:v>
      </x:c>
      <x:c r="F10" s="57" t="str">
        <x:v>Output Tokens/Task</x:v>
      </x:c>
      <x:c r="G10" s="57" t="str">
        <x:v>Input $/M</x:v>
      </x:c>
      <x:c r="H10" s="57" t="str">
        <x:v>Output $/M</x:v>
      </x:c>
      <x:c r="I10" s="57" t="str">
        <x:v>Layer 1 API Cost/Task</x:v>
      </x:c>
      <x:c r="J10" s="57" t="str">
        <x:v>Layer 2 Expected Failure/Task</x:v>
      </x:c>
      <x:c r="K10" s="57" t="str">
        <x:v>All-in Cost/Task</x:v>
      </x:c>
      <x:c r="L10" s="57" t="str">
        <x:v>Monthly API Cost</x:v>
      </x:c>
      <x:c r="M10" s="57" t="str">
        <x:v>Monthly Failure Cost</x:v>
      </x:c>
      <x:c r="N10" s="57" t="str">
        <x:v>Monthly Total Cost</x:v>
      </x:c>
      <x:c r="O10" s="58" t="str">
        <x:v>Source / Notes</x:v>
      </x:c>
    </x:row>
    <x:row r="11">
      <x:c r="A11" s="59" t="str">
        <x:v>openai/gpt-4o-mini</x:v>
      </x:c>
      <x:c r="B11" s="60" t="n">
        <x:v>60</x:v>
      </x:c>
      <x:c r="C11" s="60" t="n">
        <x:v>45</x:v>
      </x:c>
      <x:c r="D11" s="46" t="n">
        <x:v>0.75</x:v>
      </x:c>
      <x:c r="E11" s="48"/>
      <x:c r="F11" s="48"/>
      <x:c r="G11" s="50" t="n">
        <x:v>0.15</x:v>
      </x:c>
      <x:c r="H11" s="50" t="n">
        <x:v>0.6</x:v>
      </x:c>
      <x:c r="I11" s="52" t="n">
        <x:v>0.0013052399999999996</x:v>
      </x:c>
      <x:c r="J11" s="52" t="n">
        <x:f>(1-D11)*$B$4</x:f>
        <x:v>1.9</x:v>
      </x:c>
      <x:c r="K11" s="52" t="n">
        <x:f>I11+J11</x:f>
        <x:v>1.90130524</x:v>
      </x:c>
      <x:c r="L11" s="52" t="n">
        <x:f>I11*$B$3</x:f>
        <x:v>10.441919999999996</x:v>
      </x:c>
      <x:c r="M11" s="52" t="n">
        <x:f>J11*$B$3</x:f>
        <x:v>15200</x:v>
      </x:c>
      <x:c r="N11" s="54" t="n">
        <x:f>K11*$B$3+$B$5</x:f>
        <x:v>15210.44192</x:v>
      </x:c>
      <x:c r="O11" s="22" t="str">
        <x:v>60-trial summary; original six price source OpenRouter, verified 2026-09-17. Token totals not present in complete13.</x:v>
      </x:c>
    </x:row>
    <x:row r="12">
      <x:c r="A12" s="59" t="str">
        <x:v>amazon/nova-2-lite-v1</x:v>
      </x:c>
      <x:c r="B12" s="60" t="n">
        <x:v>60</x:v>
      </x:c>
      <x:c r="C12" s="60" t="n">
        <x:v>42</x:v>
      </x:c>
      <x:c r="D12" s="46" t="n">
        <x:v>0.7</x:v>
      </x:c>
      <x:c r="E12" s="48"/>
      <x:c r="F12" s="48"/>
      <x:c r="G12" s="50" t="n">
        <x:v>0.3</x:v>
      </x:c>
      <x:c r="H12" s="50" t="n">
        <x:v>2.5</x:v>
      </x:c>
      <x:c r="I12" s="52" t="n">
        <x:v>0.002885</x:v>
      </x:c>
      <x:c r="J12" s="52" t="n">
        <x:f>(1-D12)*$B$4</x:f>
        <x:v>2.2800000000000002</x:v>
      </x:c>
      <x:c r="K12" s="52" t="n">
        <x:f>I12+J12</x:f>
        <x:v>2.2828850000000003</x:v>
      </x:c>
      <x:c r="L12" s="52" t="n">
        <x:f>I12*$B$3</x:f>
        <x:v>23.08</x:v>
      </x:c>
      <x:c r="M12" s="52" t="n">
        <x:f>J12*$B$3</x:f>
        <x:v>18240.000000000004</x:v>
      </x:c>
      <x:c r="N12" s="54" t="n">
        <x:f>K12*$B$3+$B$5</x:f>
        <x:v>18263.08</x:v>
      </x:c>
      <x:c r="O12" s="22" t="str">
        <x:v>Nova: 60 live trials; pass=70%; Layer 1 uses terminal-displayed total API cost ≈ $0.1731 / 60 = $0.002885 per run (approx.).</x:v>
      </x:c>
    </x:row>
    <x:row r="13">
      <x:c r="A13" s="59" t="str">
        <x:v>google/gemini-2.5-flash</x:v>
      </x:c>
      <x:c r="B13" s="60" t="n">
        <x:v>60</x:v>
      </x:c>
      <x:c r="C13" s="60" t="n">
        <x:v>56</x:v>
      </x:c>
      <x:c r="D13" s="46" t="n">
        <x:v>0.9333333333333333</x:v>
      </x:c>
      <x:c r="E13" s="48"/>
      <x:c r="F13" s="48"/>
      <x:c r="G13" s="50" t="n">
        <x:v>0.3</x:v>
      </x:c>
      <x:c r="H13" s="50" t="n">
        <x:v>2.5</x:v>
      </x:c>
      <x:c r="I13" s="52" t="n">
        <x:v>0.0036652599999999996</x:v>
      </x:c>
      <x:c r="J13" s="52" t="n">
        <x:f>(1-D13)*$B$4</x:f>
        <x:v>0.5066666666666665</x:v>
      </x:c>
      <x:c r="K13" s="52" t="n">
        <x:f>I13+J13</x:f>
        <x:v>0.5103319266666665</x:v>
      </x:c>
      <x:c r="L13" s="52" t="n">
        <x:f>I13*$B$3</x:f>
        <x:v>29.322079999999996</x:v>
      </x:c>
      <x:c r="M13" s="52" t="n">
        <x:f>J13*$B$3</x:f>
        <x:v>4053.333333333332</x:v>
      </x:c>
      <x:c r="N13" s="54" t="n">
        <x:f>K13*$B$3+$B$5</x:f>
        <x:v>4082.655413333332</x:v>
      </x:c>
      <x:c r="O13" s="22" t="str">
        <x:v>60-trial summary; original six price source OpenRouter, verified 2026-09-17. Token totals not present in complete13.</x:v>
      </x:c>
    </x:row>
    <x:row r="14">
      <x:c r="A14" s="59" t="str">
        <x:v>deepseek/deepseek-chat-v3.1</x:v>
      </x:c>
      <x:c r="B14" s="60" t="n">
        <x:v>60</x:v>
      </x:c>
      <x:c r="C14" s="60" t="n">
        <x:v>54</x:v>
      </x:c>
      <x:c r="D14" s="46" t="n">
        <x:v>0.9</x:v>
      </x:c>
      <x:c r="E14" s="48"/>
      <x:c r="F14" s="48"/>
      <x:c r="G14" s="50" t="n">
        <x:v>0.25</x:v>
      </x:c>
      <x:c r="H14" s="50" t="n">
        <x:v>0.95</x:v>
      </x:c>
      <x:c r="I14" s="52" t="n">
        <x:v>0.00245386</x:v>
      </x:c>
      <x:c r="J14" s="52" t="n">
        <x:f>(1-D14)*$B$4</x:f>
        <x:v>0.7599999999999998</x:v>
      </x:c>
      <x:c r="K14" s="52" t="n">
        <x:f>I14+J14</x:f>
        <x:v>0.7624538599999998</x:v>
      </x:c>
      <x:c r="L14" s="52" t="n">
        <x:f>I14*$B$3</x:f>
        <x:v>19.63088</x:v>
      </x:c>
      <x:c r="M14" s="52" t="n">
        <x:f>J14*$B$3</x:f>
        <x:v>6079.999999999998</x:v>
      </x:c>
      <x:c r="N14" s="54" t="n">
        <x:f>K14*$B$3+$B$5</x:f>
        <x:v>6099.630879999999</x:v>
      </x:c>
      <x:c r="O14" s="22" t="str">
        <x:v>60-trial summary; original six price source OpenRouter, verified 2026-09-17. Token totals not present in complete13.</x:v>
      </x:c>
    </x:row>
    <x:row r="15">
      <x:c r="A15" s="59" t="str">
        <x:v>meta-llama/llama-3.3-70b-instruct</x:v>
      </x:c>
      <x:c r="B15" s="60" t="n">
        <x:v>60</x:v>
      </x:c>
      <x:c r="C15" s="60" t="n">
        <x:v>47</x:v>
      </x:c>
      <x:c r="D15" s="46" t="n">
        <x:v>0.7833333333333333</x:v>
      </x:c>
      <x:c r="E15" s="48"/>
      <x:c r="F15" s="48"/>
      <x:c r="G15" s="50" t="n">
        <x:v>0.1</x:v>
      </x:c>
      <x:c r="H15" s="50" t="n">
        <x:v>0.32</x:v>
      </x:c>
      <x:c r="I15" s="52" t="n">
        <x:v>0.0010648166666666664</x:v>
      </x:c>
      <x:c r="J15" s="52" t="n">
        <x:f>(1-D15)*$B$4</x:f>
        <x:v>1.6466666666666667</x:v>
      </x:c>
      <x:c r="K15" s="52" t="n">
        <x:f>I15+J15</x:f>
        <x:v>1.6477314833333334</x:v>
      </x:c>
      <x:c r="L15" s="52" t="n">
        <x:f>I15*$B$3</x:f>
        <x:v>8.518533333333332</x:v>
      </x:c>
      <x:c r="M15" s="52" t="n">
        <x:f>J15*$B$3</x:f>
        <x:v>13173.333333333334</x:v>
      </x:c>
      <x:c r="N15" s="54" t="n">
        <x:f>K15*$B$3+$B$5</x:f>
        <x:v>13181.851866666668</x:v>
      </x:c>
      <x:c r="O15" s="22" t="str">
        <x:v>60-trial summary; original six price source OpenRouter, verified 2026-09-17. Token totals not present in complete13.</x:v>
      </x:c>
    </x:row>
    <x:row r="16">
      <x:c r="A16" s="59" t="str">
        <x:v>mistralai/mistral-small-2603</x:v>
      </x:c>
      <x:c r="B16" s="60" t="n">
        <x:v>60</x:v>
      </x:c>
      <x:c r="C16" s="60" t="n">
        <x:v>35</x:v>
      </x:c>
      <x:c r="D16" s="46" t="n">
        <x:v>0.5833333333333334</x:v>
      </x:c>
      <x:c r="E16" s="48"/>
      <x:c r="F16" s="48"/>
      <x:c r="G16" s="50" t="n">
        <x:v>0.15</x:v>
      </x:c>
      <x:c r="H16" s="50" t="n">
        <x:v>0.6</x:v>
      </x:c>
      <x:c r="I16" s="52" t="n">
        <x:v>0.0015218324999999996</x:v>
      </x:c>
      <x:c r="J16" s="52" t="n">
        <x:f>(1-D16)*$B$4</x:f>
        <x:v>3.166666666666666</x:v>
      </x:c>
      <x:c r="K16" s="52" t="n">
        <x:f>I16+J16</x:f>
        <x:v>3.168188499166666</x:v>
      </x:c>
      <x:c r="L16" s="52" t="n">
        <x:f>I16*$B$3</x:f>
        <x:v>12.174659999999998</x:v>
      </x:c>
      <x:c r="M16" s="52" t="n">
        <x:f>J16*$B$3</x:f>
        <x:v>25333.33333333333</x:v>
      </x:c>
      <x:c r="N16" s="54" t="n">
        <x:f>K16*$B$3+$B$5</x:f>
        <x:v>25345.50799333333</x:v>
      </x:c>
      <x:c r="O16" s="22" t="str">
        <x:v>60-trial summary; original six price source OpenRouter, verified 2026-09-17. Token totals not present in complete13.</x:v>
      </x:c>
    </x:row>
    <x:row r="17">
      <x:c r="A17" s="61" t="str">
        <x:v>qwen/qwen3-30b-a3b-instruct-2507</x:v>
      </x:c>
      <x:c r="B17" s="62" t="n">
        <x:v>60</x:v>
      </x:c>
      <x:c r="C17" s="62" t="n">
        <x:v>36</x:v>
      </x:c>
      <x:c r="D17" s="63" t="n">
        <x:v>0.6</x:v>
      </x:c>
      <x:c r="E17" s="64" t="n">
        <x:v>8410.7</x:v>
      </x:c>
      <x:c r="F17" s="64" t="n">
        <x:v>266.01666666666665</x:v>
      </x:c>
      <x:c r="G17" s="65" t="n">
        <x:v>0.048</x:v>
      </x:c>
      <x:c r="H17" s="65" t="n">
        <x:v>0.19</x:v>
      </x:c>
      <x:c r="I17" s="66" t="n">
        <x:v>0.00045425676666666667</x:v>
      </x:c>
      <x:c r="J17" s="66" t="n">
        <x:f>(1-D17)*$B$4</x:f>
        <x:v>3.04</x:v>
      </x:c>
      <x:c r="K17" s="66" t="n">
        <x:f>I17+J17</x:f>
        <x:v>3.0404542567666666</x:v>
      </x:c>
      <x:c r="L17" s="66" t="n">
        <x:f>I17*$B$3</x:f>
        <x:v>3.634054133333333</x:v>
      </x:c>
      <x:c r="M17" s="66" t="n">
        <x:f>J17*$B$3</x:f>
        <x:v>24320</x:v>
      </x:c>
      <x:c r="N17" s="67" t="n">
        <x:f>K17*$B$3+$B$5</x:f>
        <x:v>24323.634054133334</x:v>
      </x:c>
      <x:c r="O17" s="25" t="str">
        <x:v>Qwen: 60 live trials; 504,642 input / 15,961 output total; ZIP price snapshot 0.048/0.19 USD per M, source marks provisional.</x:v>
      </x:c>
    </x:row>
    <x:row r="20">
      <x:c r="A20" s="82" t="str">
        <x:v>Key interpretation</x:v>
      </x:c>
      <x:c r="B20" s="82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</x:row>
    <x:row r="21">
      <x:c r="A21" s="87" t="str">
        <x:v>Lowest all-in cost under current assumptions</x:v>
      </x:c>
      <x:c r="B21" s="19" t="str">
        <x:v>google/gemini-2.5-flash</x:v>
      </x:c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20" t="str">
        <x:v>Success rate dominates API price because Layer 2 human fallback cost is much larger than Layer 1 API cost.</x:v>
      </x:c>
    </x:row>
    <x:row r="22">
      <x:c r="A22" s="88" t="str">
        <x:v>Cheapest Layer 1 API model</x:v>
      </x:c>
      <x:c r="B22" s="15" t="str">
        <x:v>qwen/qwen3-30b-a3b-instruct-2507</x:v>
      </x:c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22" t="str">
        <x:v>With Qwen added, Qwen has the lowest API cost per run, but its 60% pass rate produces high expected fallback cost.</x:v>
      </x:c>
    </x:row>
    <x:row r="23">
      <x:c r="A23" s="89" t="str">
        <x:v>Operational caps</x:v>
      </x:c>
      <x:c r="B23" s="24" t="str">
        <x:v>step cap=8; budget ceiling=$0.10/task; monthly limit/user=100</x:v>
      </x:c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5" t="str">
        <x:v>8000 is total monthly volume, not the per-user limit.</x:v>
      </x:c>
    </x:row>
  </x:sheetData>
  <x:mergeCells>
    <x:mergeCell ref="A1:O1"/>
    <x:mergeCell ref="A20:O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29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40" hidden="0" customWidth="1"/>
    <x:col min="9" max="9" width="46" hidden="0" customWidth="1"/>
    <x:col min="10" max="10" width="38" hidden="0" customWidth="1"/>
  </x:cols>
  <x:sheetData>
    <x:row r="1">
      <x:c r="A1" s="5" t="str">
        <x:v>D6 Four-Lever Cost Ledger</x:v>
      </x:c>
      <x:c r="B1" s="5"/>
      <x:c r="C1" s="5"/>
      <x:c r="D1" s="5"/>
      <x:c r="E1" s="5"/>
      <x:c r="F1" s="5"/>
      <x:c r="G1" s="5"/>
      <x:c r="H1" s="5"/>
      <x:c r="I1" s="5"/>
      <x:c r="J1" s="5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3">
      <x:c r="A3" s="56" t="str">
        <x:v>Lever</x:v>
      </x:c>
      <x:c r="B3" s="57" t="str">
        <x:v>What it attacks</x:v>
      </x:c>
      <x:c r="C3" s="57" t="str">
        <x:v>Primary metric</x:v>
      </x:c>
      <x:c r="D3" s="57" t="str">
        <x:v>Before</x:v>
      </x:c>
      <x:c r="E3" s="57" t="str">
        <x:v>After</x:v>
      </x:c>
      <x:c r="F3" s="57" t="str">
        <x:v>Absolute change</x:v>
      </x:c>
      <x:c r="G3" s="57" t="str">
        <x:v>Relative change</x:v>
      </x:c>
      <x:c r="H3" s="57" t="str">
        <x:v>Supporting evidence</x:v>
      </x:c>
      <x:c r="I3" s="57" t="str">
        <x:v>Cost implication</x:v>
      </x:c>
      <x:c r="J3" s="58" t="str">
        <x:v>Source / note</x:v>
      </x:c>
    </x:row>
    <x:row r="4">
      <x:c r="A4" s="59" t="str">
        <x:v>B — Tool block size</x:v>
      </x:c>
      <x:c r="B4" s="60" t="str">
        <x:v>Linear base-prompt cost re-sent every turn</x:v>
      </x:c>
      <x:c r="C4" s="60" t="str">
        <x:v>Tool-definition block tokens/turn</x:v>
      </x:c>
      <x:c r="D4" s="93" t="n">
        <x:v>579</x:v>
      </x:c>
      <x:c r="E4" s="93" t="n">
        <x:v>449</x:v>
      </x:c>
      <x:c r="F4" s="93" t="n">
        <x:f>E4-D4</x:f>
        <x:v>-130</x:v>
      </x:c>
      <x:c r="G4" s="46" t="n">
        <x:f>(E4-D4)/D4</x:f>
        <x:v>-0.22452504317789293</x:v>
      </x:c>
      <x:c r="H4" s="15" t="str">
        <x:v>7 tools → 5 tools</x:v>
      </x:c>
      <x:c r="I4" s="15" t="str">
        <x:v>Reduces repeated prompt footprint; not separately added to Layer 1 to avoid double counting.</x:v>
      </x:c>
      <x:c r="J4" s="22" t="str">
        <x:v>four_levers_summary.json — lever_1_tool_block_size</x:v>
      </x:c>
    </x:row>
    <x:row r="5">
      <x:c r="A5" s="59" t="str">
        <x:v>T — Turn count</x:v>
      </x:c>
      <x:c r="B5" s="60" t="str">
        <x:v>Trajectory growth / repeated context</x:v>
      </x:c>
      <x:c r="C5" s="60" t="str">
        <x:v>Tool turns (60 trials)</x:v>
      </x:c>
      <x:c r="D5" s="93" t="n">
        <x:v>249</x:v>
      </x:c>
      <x:c r="E5" s="93" t="n">
        <x:v>234</x:v>
      </x:c>
      <x:c r="F5" s="93" t="n">
        <x:f>E5-D5</x:f>
        <x:v>-15</x:v>
      </x:c>
      <x:c r="G5" s="46" t="n">
        <x:f>(E5-D5)/D5</x:f>
        <x:v>-0.060240963855421686</x:v>
      </x:c>
      <x:c r="H5" s="15" t="str">
        <x:v>Input tokens 559,675 → 529,211; model calls 337 → 324</x:v>
      </x:c>
      <x:c r="I5" s="15" t="str">
        <x:v>Raw API cost $0.061357 → $0.064384 (+4.93%); outlier-exclusion batched cost $0.057820 (-5.77%).</x:v>
      </x:c>
      <x:c r="J5" s="22" t="str">
        <x:v>用户提供的60-trial live sequential vs batched comparison</x:v>
      </x:c>
    </x:row>
    <x:row r="6">
      <x:c r="A6" s="59" t="str">
        <x:v>D — Observation size</x:v>
      </x:c>
      <x:c r="B6" s="60" t="str">
        <x:v>Compounding observation re-send</x:v>
      </x:c>
      <x:c r="C6" s="60" t="str">
        <x:v>Return tokens/call (V1 → V2)</x:v>
      </x:c>
      <x:c r="D6" s="93" t="n">
        <x:v>35.6</x:v>
      </x:c>
      <x:c r="E6" s="93" t="n">
        <x:v>31.736842105263158</x:v>
      </x:c>
      <x:c r="F6" s="93" t="n">
        <x:f>E6-D6</x:f>
        <x:v>-3.863157894736844</x:v>
      </x:c>
      <x:c r="G6" s="46" t="n">
        <x:f>(E6-D6)/D6</x:f>
        <x:v>-0.10851567120047313</x:v>
      </x:c>
      <x:c r="H6" s="15" t="str">
        <x:v>Pass rate 71.67% → 81.67%; input tokens 497,985 → 546,448</x:v>
      </x:c>
      <x:c r="I6" s="15" t="str">
        <x:v>Observation size fell, but full-run API cost rose 9.18%; do not claim total-cost saving.</x:v>
      </x:c>
      <x:c r="J6" s="22" t="str">
        <x:v>four_levers_summary(1).json — lever_3_observation_size</x:v>
      </x:c>
    </x:row>
    <x:row r="7">
      <x:c r="A7" s="61" t="str">
        <x:v>P — Success rate</x:v>
      </x:c>
      <x:c r="B7" s="62" t="str">
        <x:v>Layer 2 expected human fallback cost</x:v>
      </x:c>
      <x:c r="C7" s="62" t="str">
        <x:v>Pass rate: lowest-P model → highest-P model</x:v>
      </x:c>
      <x:c r="D7" s="63" t="n">
        <x:v>0.5833333333333334</x:v>
      </x:c>
      <x:c r="E7" s="63" t="n">
        <x:v>0.9333333333333333</x:v>
      </x:c>
      <x:c r="F7" s="63" t="n">
        <x:f>E7-D7</x:f>
        <x:v>0.35</x:v>
      </x:c>
      <x:c r="G7" s="63" t="n">
        <x:f>E7-D7</x:f>
        <x:v>0.35</x:v>
      </x:c>
      <x:c r="H7" s="24" t="str">
        <x:v>mistralai/mistral-small-2603 → google/gemini-2.5-flash</x:v>
      </x:c>
      <x:c r="I7" s="24" t="str">
        <x:v>Layer 2 $3.1667 → $0.5067/task; P is the dominant lever.</x:v>
      </x:c>
      <x:c r="J7" s="25" t="str">
        <x:v>d6_cost_model_results.json及four_levers_summary(1).json — lever_4_success_rate</x:v>
      </x:c>
    </x:row>
    <x:row r="10">
      <x:c r="A10" s="82" t="str">
        <x:v>Lever T — raw result and outlier-exclusion sensitivity</x:v>
      </x:c>
      <x:c r="B10" s="82"/>
      <x:c r="C10" s="82"/>
      <x:c r="D10" s="82"/>
      <x:c r="E10" s="82"/>
      <x:c r="F10" s="82"/>
      <x:c r="G10" s="82"/>
      <x:c r="H10" s="82"/>
      <x:c r="I10" s="82"/>
      <x:c r="J10" s="82"/>
    </x:row>
    <x:row r="11">
      <x:c r="A11" s="107" t="str">
        <x:v>Case</x:v>
      </x:c>
      <x:c r="B11" s="108" t="str">
        <x:v>Output tokens</x:v>
      </x:c>
      <x:c r="C11" s="108" t="str">
        <x:v>API cost</x:v>
      </x:c>
      <x:c r="D11" s="108" t="str">
        <x:v>Change vs sequential</x:v>
      </x:c>
      <x:c r="E11" s="108" t="str">
        <x:v>Pass rate</x:v>
      </x:c>
      <x:c r="F11" s="109" t="str">
        <x:v>Interpretation</x:v>
      </x:c>
    </x:row>
    <x:row r="12">
      <x:c r="A12" s="59" t="str">
        <x:v>Sequential</x:v>
      </x:c>
      <x:c r="B12" s="105" t="n">
        <x:v>13474</x:v>
      </x:c>
      <x:c r="C12" s="52" t="n">
        <x:v>0.06135709999999999</x:v>
      </x:c>
      <x:c r="D12" s="46" t="n">
        <x:v>0</x:v>
      </x:c>
      <x:c r="E12" s="46" t="n">
        <x:v>0.75</x:v>
      </x:c>
      <x:c r="F12" s="22" t="str">
        <x:v>Measured baseline</x:v>
      </x:c>
    </x:row>
    <x:row r="13">
      <x:c r="A13" s="59" t="str">
        <x:v>Batched — raw</x:v>
      </x:c>
      <x:c r="B13" s="105" t="n">
        <x:v>28656</x:v>
      </x:c>
      <x:c r="C13" s="52" t="n">
        <x:v>0.06438350000000002</x:v>
      </x:c>
      <x:c r="D13" s="46" t="n">
        <x:v>0.04932436506940574</x:v>
      </x:c>
      <x:c r="E13" s="46" t="n">
        <x:v>0.8</x:v>
      </x:c>
      <x:c r="F13" s="22" t="str">
        <x:v>Raw measured cost is higher, dominated by one anomalous provider-reported completion.</x:v>
      </x:c>
    </x:row>
    <x:row r="14">
      <x:c r="A14" s="61" t="str">
        <x:v>Batched — outlier sensitivity</x:v>
      </x:c>
      <x:c r="B14" s="110" t="n">
        <x:v>12246</x:v>
      </x:c>
      <x:c r="C14" s="66" t="n">
        <x:v>0.057819500000000024</x:v>
      </x:c>
      <x:c r="D14" s="63" t="n">
        <x:v>-0.05765591920087432</x:v>
      </x:c>
      <x:c r="E14" s="63" t="n">
        <x:v>0.8</x:v>
      </x:c>
      <x:c r="F14" s="25" t="str">
        <x:v>Sensitivity only; does not replace the primary measured result.</x:v>
      </x:c>
    </x:row>
    <x:row r="17">
      <x:c r="A17" s="82" t="str">
        <x:v>Dominant lever</x:v>
      </x:c>
      <x:c r="B17" s="82"/>
      <x:c r="C17" s="82"/>
      <x:c r="D17" s="82"/>
      <x:c r="E17" s="82"/>
      <x:c r="F17" s="82"/>
      <x:c r="G17" s="82"/>
      <x:c r="H17" s="82"/>
      <x:c r="I17" s="82"/>
      <x:c r="J17" s="82"/>
    </x:row>
    <x:row r="18">
      <x:c r="A18" s="117" t="str">
        <x:v>P (success rate) dominates the bill under the current assumptions because expected human fallback cost is orders of magnitude larger than model API cost. The cross-model comparison is Mistral (58.33%) vs Gemini (93.33%), reducing Layer 2 by about $2.66 per submitted task.</x:v>
      </x:c>
      <x:c r="B18" s="117"/>
      <x:c r="C18" s="117"/>
      <x:c r="D18" s="117"/>
      <x:c r="E18" s="117"/>
      <x:c r="F18" s="117"/>
      <x:c r="G18" s="117"/>
      <x:c r="H18" s="117"/>
      <x:c r="I18" s="117"/>
      <x:c r="J18" s="117"/>
    </x:row>
    <x:row r="19">
      <x:c r="A19" s="117"/>
      <x:c r="B19" s="117"/>
      <x:c r="C19" s="117"/>
      <x:c r="D19" s="117"/>
      <x:c r="E19" s="117"/>
      <x:c r="F19" s="117"/>
      <x:c r="G19" s="117"/>
      <x:c r="H19" s="117"/>
      <x:c r="I19" s="117"/>
      <x:c r="J19" s="117"/>
    </x:row>
  </x:sheetData>
  <x:mergeCells>
    <x:mergeCell ref="A1:J1"/>
    <x:mergeCell ref="A10:J10"/>
    <x:mergeCell ref="A17:J17"/>
    <x:mergeCell ref="A18:J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7" hidden="0" customWidth="1"/>
    <x:col min="5" max="5" width="19" hidden="0" customWidth="1"/>
    <x:col min="6" max="6" width="18" hidden="0" customWidth="1"/>
    <x:col min="7" max="7" width="18" hidden="0" customWidth="1"/>
    <x:col min="8" max="8" width="46" hidden="0" customWidth="1"/>
  </x:cols>
  <x:sheetData>
    <x:row r="1">
      <x:c r="A1" s="5" t="str">
        <x:v>D6 Success-Rate Sensitivity (±10 percentage points)</x:v>
      </x:c>
      <x:c r="B1" s="5"/>
      <x:c r="C1" s="5"/>
      <x:c r="D1" s="5"/>
      <x:c r="E1" s="5"/>
      <x:c r="F1" s="5"/>
      <x:c r="G1" s="5"/>
      <x:c r="H1" s="5"/>
      <x:c r="I1" s="143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3">
      <x:c r="A3" s="107" t="str">
        <x:v>Assumption</x:v>
      </x:c>
      <x:c r="B3" s="108" t="str">
        <x:v>Value</x:v>
      </x:c>
      <x:c r="C3" s="109" t="str">
        <x:v>Unit</x:v>
      </x:c>
    </x:row>
    <x:row r="4">
      <x:c r="A4" s="123" t="str">
        <x:v>Monthly volume</x:v>
      </x:c>
      <x:c r="B4" s="60" t="n">
        <x:v>8000</x:v>
      </x:c>
      <x:c r="C4" s="124" t="str">
        <x:v>claims/month</x:v>
      </x:c>
    </x:row>
    <x:row r="5">
      <x:c r="A5" s="123" t="str">
        <x:v>Failure cost</x:v>
      </x:c>
      <x:c r="B5" s="121" t="n">
        <x:v>7.6</x:v>
      </x:c>
      <x:c r="C5" s="124" t="str">
        <x:v>USD/failure</x:v>
      </x:c>
    </x:row>
    <x:row r="6">
      <x:c r="A6" s="125" t="str">
        <x:v>Layer 3 fixed cost</x:v>
      </x:c>
      <x:c r="B6" s="126" t="n">
        <x:v>0</x:v>
      </x:c>
      <x:c r="C6" s="127" t="str">
        <x:v>USD/month</x:v>
      </x:c>
    </x:row>
    <x:row r="8">
      <x:c r="A8" s="56" t="str">
        <x:v>Model</x:v>
      </x:c>
      <x:c r="B8" s="57" t="str">
        <x:v>Scenario</x:v>
      </x:c>
      <x:c r="C8" s="57" t="str">
        <x:v>Success Rate</x:v>
      </x:c>
      <x:c r="D8" s="57" t="str">
        <x:v>Layer 1 API/Task</x:v>
      </x:c>
      <x:c r="E8" s="57" t="str">
        <x:v>Layer 2 Failure/Task</x:v>
      </x:c>
      <x:c r="F8" s="57" t="str">
        <x:v>All-in Cost/Task</x:v>
      </x:c>
      <x:c r="G8" s="57" t="str">
        <x:v>Monthly Total</x:v>
      </x:c>
      <x:c r="H8" s="58" t="str">
        <x:v>Interpretation</x:v>
      </x:c>
    </x:row>
    <x:row r="9">
      <x:c r="A9" s="59" t="str">
        <x:v>openai/gpt-4o-mini</x:v>
      </x:c>
      <x:c r="B9" s="60" t="str">
        <x:v>-10 pp</x:v>
      </x:c>
      <x:c r="C9" s="46" t="n">
        <x:v>0.65</x:v>
      </x:c>
      <x:c r="D9" s="52" t="n">
        <x:v>0.0013052399999999996</x:v>
      </x:c>
      <x:c r="E9" s="52" t="n">
        <x:f>(1-C9)*$B$5</x:f>
        <x:v>2.6599999999999997</x:v>
      </x:c>
      <x:c r="F9" s="52" t="n">
        <x:f>D9+E9</x:f>
        <x:v>2.66130524</x:v>
      </x:c>
      <x:c r="G9" s="54" t="n">
        <x:f>F9*$B$4+$B$6</x:f>
        <x:v>21290.441919999997</x:v>
      </x:c>
      <x:c r="H9" s="22" t="str"/>
    </x:row>
    <x:row r="10">
      <x:c r="A10" s="59" t="str">
        <x:v>openai/gpt-4o-mini</x:v>
      </x:c>
      <x:c r="B10" s="60" t="str">
        <x:v>Base</x:v>
      </x:c>
      <x:c r="C10" s="46" t="n">
        <x:v>0.75</x:v>
      </x:c>
      <x:c r="D10" s="52" t="n">
        <x:v>0.0013052399999999996</x:v>
      </x:c>
      <x:c r="E10" s="52" t="n">
        <x:f>(1-C10)*$B$5</x:f>
        <x:v>1.9</x:v>
      </x:c>
      <x:c r="F10" s="52" t="n">
        <x:f>D10+E10</x:f>
        <x:v>1.90130524</x:v>
      </x:c>
      <x:c r="G10" s="54" t="n">
        <x:f>F10*$B$4+$B$6</x:f>
        <x:v>15210.44192</x:v>
      </x:c>
      <x:c r="H10" s="22" t="str"/>
    </x:row>
    <x:row r="11">
      <x:c r="A11" s="59" t="str">
        <x:v>openai/gpt-4o-mini</x:v>
      </x:c>
      <x:c r="B11" s="60" t="str">
        <x:v>+10 pp</x:v>
      </x:c>
      <x:c r="C11" s="46" t="n">
        <x:v>0.85</x:v>
      </x:c>
      <x:c r="D11" s="52" t="n">
        <x:v>0.0013052399999999996</x:v>
      </x:c>
      <x:c r="E11" s="52" t="n">
        <x:f>(1-C11)*$B$5</x:f>
        <x:v>1.1400000000000001</x:v>
      </x:c>
      <x:c r="F11" s="52" t="n">
        <x:f>D11+E11</x:f>
        <x:v>1.14130524</x:v>
      </x:c>
      <x:c r="G11" s="54" t="n">
        <x:f>F11*$B$4+$B$6</x:f>
        <x:v>9130.441920000001</x:v>
      </x:c>
      <x:c r="H11" s="22" t="str"/>
    </x:row>
    <x:row r="12">
      <x:c r="A12" s="59" t="str">
        <x:v>amazon/nova-2-lite-v1</x:v>
      </x:c>
      <x:c r="B12" s="60" t="str">
        <x:v>-10 pp</x:v>
      </x:c>
      <x:c r="C12" s="46" t="n">
        <x:v>0.6</x:v>
      </x:c>
      <x:c r="D12" s="52" t="n">
        <x:v>0.002885</x:v>
      </x:c>
      <x:c r="E12" s="52" t="n">
        <x:f>(1-C12)*$B$5</x:f>
        <x:v>3.04</x:v>
      </x:c>
      <x:c r="F12" s="52" t="n">
        <x:f>D12+E12</x:f>
        <x:v>3.042885</x:v>
      </x:c>
      <x:c r="G12" s="54" t="n">
        <x:f>F12*$B$4+$B$6</x:f>
        <x:v>24343.08</x:v>
      </x:c>
      <x:c r="H12" s="22" t="str"/>
    </x:row>
    <x:row r="13">
      <x:c r="A13" s="59" t="str">
        <x:v>amazon/nova-2-lite-v1</x:v>
      </x:c>
      <x:c r="B13" s="60" t="str">
        <x:v>Base</x:v>
      </x:c>
      <x:c r="C13" s="46" t="n">
        <x:v>0.7</x:v>
      </x:c>
      <x:c r="D13" s="52" t="n">
        <x:v>0.002885</x:v>
      </x:c>
      <x:c r="E13" s="52" t="n">
        <x:f>(1-C13)*$B$5</x:f>
        <x:v>2.2800000000000002</x:v>
      </x:c>
      <x:c r="F13" s="52" t="n">
        <x:f>D13+E13</x:f>
        <x:v>2.2828850000000003</x:v>
      </x:c>
      <x:c r="G13" s="54" t="n">
        <x:f>F13*$B$4+$B$6</x:f>
        <x:v>18263.08</x:v>
      </x:c>
      <x:c r="H13" s="22" t="str"/>
    </x:row>
    <x:row r="14">
      <x:c r="A14" s="59" t="str">
        <x:v>amazon/nova-2-lite-v1</x:v>
      </x:c>
      <x:c r="B14" s="60" t="str">
        <x:v>+10 pp</x:v>
      </x:c>
      <x:c r="C14" s="46" t="n">
        <x:v>0.7999999999999999</x:v>
      </x:c>
      <x:c r="D14" s="52" t="n">
        <x:v>0.002885</x:v>
      </x:c>
      <x:c r="E14" s="52" t="n">
        <x:f>(1-C14)*$B$5</x:f>
        <x:v>1.5200000000000005</x:v>
      </x:c>
      <x:c r="F14" s="52" t="n">
        <x:f>D14+E14</x:f>
        <x:v>1.5228850000000005</x:v>
      </x:c>
      <x:c r="G14" s="54" t="n">
        <x:f>F14*$B$4+$B$6</x:f>
        <x:v>12183.080000000004</x:v>
      </x:c>
      <x:c r="H14" s="22" t="str"/>
    </x:row>
    <x:row r="15">
      <x:c r="A15" s="59" t="str">
        <x:v>google/gemini-2.5-flash</x:v>
      </x:c>
      <x:c r="B15" s="60" t="str">
        <x:v>-10 pp</x:v>
      </x:c>
      <x:c r="C15" s="46" t="n">
        <x:v>0.8333333333333334</x:v>
      </x:c>
      <x:c r="D15" s="52" t="n">
        <x:v>0.0036652599999999996</x:v>
      </x:c>
      <x:c r="E15" s="52" t="n">
        <x:f>(1-C15)*$B$5</x:f>
        <x:v>1.2666666666666664</x:v>
      </x:c>
      <x:c r="F15" s="52" t="n">
        <x:f>D15+E15</x:f>
        <x:v>1.2703319266666664</x:v>
      </x:c>
      <x:c r="G15" s="54" t="n">
        <x:f>F15*$B$4+$B$6</x:f>
        <x:v>10162.65541333333</x:v>
      </x:c>
      <x:c r="H15" s="22" t="str">
        <x:v>Selected lowest all-in cost model under base assumptions.</x:v>
      </x:c>
    </x:row>
    <x:row r="16">
      <x:c r="A16" s="59" t="str">
        <x:v>google/gemini-2.5-flash</x:v>
      </x:c>
      <x:c r="B16" s="60" t="str">
        <x:v>Base</x:v>
      </x:c>
      <x:c r="C16" s="46" t="n">
        <x:v>0.9333333333333333</x:v>
      </x:c>
      <x:c r="D16" s="52" t="n">
        <x:v>0.0036652599999999996</x:v>
      </x:c>
      <x:c r="E16" s="52" t="n">
        <x:f>(1-C16)*$B$5</x:f>
        <x:v>0.5066666666666665</x:v>
      </x:c>
      <x:c r="F16" s="52" t="n">
        <x:f>D16+E16</x:f>
        <x:v>0.5103319266666665</x:v>
      </x:c>
      <x:c r="G16" s="54" t="n">
        <x:f>F16*$B$4+$B$6</x:f>
        <x:v>4082.655413333332</x:v>
      </x:c>
      <x:c r="H16" s="22" t="str">
        <x:v>Selected lowest all-in cost model under base assumptions.</x:v>
      </x:c>
    </x:row>
    <x:row r="17">
      <x:c r="A17" s="59" t="str">
        <x:v>google/gemini-2.5-flash</x:v>
      </x:c>
      <x:c r="B17" s="60" t="str">
        <x:v>+10 pp</x:v>
      </x:c>
      <x:c r="C17" s="46" t="n">
        <x:v>1</x:v>
      </x:c>
      <x:c r="D17" s="52" t="n">
        <x:v>0.0036652599999999996</x:v>
      </x:c>
      <x:c r="E17" s="52" t="n">
        <x:f>(1-C17)*$B$5</x:f>
        <x:v>0</x:v>
      </x:c>
      <x:c r="F17" s="52" t="n">
        <x:f>D17+E17</x:f>
        <x:v>0.0036652599999999996</x:v>
      </x:c>
      <x:c r="G17" s="54" t="n">
        <x:f>F17*$B$4+$B$6</x:f>
        <x:v>29.322079999999996</x:v>
      </x:c>
      <x:c r="H17" s="22" t="str">
        <x:v>Selected lowest all-in cost model under base assumptions.</x:v>
      </x:c>
    </x:row>
    <x:row r="18">
      <x:c r="A18" s="59" t="str">
        <x:v>deepseek/deepseek-chat-v3.1</x:v>
      </x:c>
      <x:c r="B18" s="60" t="str">
        <x:v>-10 pp</x:v>
      </x:c>
      <x:c r="C18" s="46" t="n">
        <x:v>0.8</x:v>
      </x:c>
      <x:c r="D18" s="52" t="n">
        <x:v>0.00245386</x:v>
      </x:c>
      <x:c r="E18" s="52" t="n">
        <x:f>(1-C18)*$B$5</x:f>
        <x:v>1.5199999999999996</x:v>
      </x:c>
      <x:c r="F18" s="52" t="n">
        <x:f>D18+E18</x:f>
        <x:v>1.5224538599999995</x:v>
      </x:c>
      <x:c r="G18" s="54" t="n">
        <x:f>F18*$B$4+$B$6</x:f>
        <x:v>12179.630879999995</x:v>
      </x:c>
      <x:c r="H18" s="22" t="str"/>
    </x:row>
    <x:row r="19">
      <x:c r="A19" s="59" t="str">
        <x:v>deepseek/deepseek-chat-v3.1</x:v>
      </x:c>
      <x:c r="B19" s="60" t="str">
        <x:v>Base</x:v>
      </x:c>
      <x:c r="C19" s="46" t="n">
        <x:v>0.9</x:v>
      </x:c>
      <x:c r="D19" s="52" t="n">
        <x:v>0.00245386</x:v>
      </x:c>
      <x:c r="E19" s="52" t="n">
        <x:f>(1-C19)*$B$5</x:f>
        <x:v>0.7599999999999998</x:v>
      </x:c>
      <x:c r="F19" s="52" t="n">
        <x:f>D19+E19</x:f>
        <x:v>0.7624538599999998</x:v>
      </x:c>
      <x:c r="G19" s="54" t="n">
        <x:f>F19*$B$4+$B$6</x:f>
        <x:v>6099.630879999999</x:v>
      </x:c>
      <x:c r="H19" s="22" t="str"/>
    </x:row>
    <x:row r="20">
      <x:c r="A20" s="59" t="str">
        <x:v>deepseek/deepseek-chat-v3.1</x:v>
      </x:c>
      <x:c r="B20" s="60" t="str">
        <x:v>+10 pp</x:v>
      </x:c>
      <x:c r="C20" s="46" t="n">
        <x:v>1</x:v>
      </x:c>
      <x:c r="D20" s="52" t="n">
        <x:v>0.00245386</x:v>
      </x:c>
      <x:c r="E20" s="52" t="n">
        <x:f>(1-C20)*$B$5</x:f>
        <x:v>0</x:v>
      </x:c>
      <x:c r="F20" s="52" t="n">
        <x:f>D20+E20</x:f>
        <x:v>0.00245386</x:v>
      </x:c>
      <x:c r="G20" s="54" t="n">
        <x:f>F20*$B$4+$B$6</x:f>
        <x:v>19.63088</x:v>
      </x:c>
      <x:c r="H20" s="22" t="str"/>
    </x:row>
    <x:row r="21">
      <x:c r="A21" s="59" t="str">
        <x:v>meta-llama/llama-3.3-70b-instruct</x:v>
      </x:c>
      <x:c r="B21" s="60" t="str">
        <x:v>-10 pp</x:v>
      </x:c>
      <x:c r="C21" s="46" t="n">
        <x:v>0.6833333333333333</x:v>
      </x:c>
      <x:c r="D21" s="52" t="n">
        <x:v>0.0010648166666666664</x:v>
      </x:c>
      <x:c r="E21" s="52" t="n">
        <x:f>(1-C21)*$B$5</x:f>
        <x:v>2.4066666666666663</x:v>
      </x:c>
      <x:c r="F21" s="52" t="n">
        <x:f>D21+E21</x:f>
        <x:v>2.407731483333333</x:v>
      </x:c>
      <x:c r="G21" s="54" t="n">
        <x:f>F21*$B$4+$B$6</x:f>
        <x:v>19261.851866666664</x:v>
      </x:c>
      <x:c r="H21" s="22" t="str"/>
    </x:row>
    <x:row r="22">
      <x:c r="A22" s="59" t="str">
        <x:v>meta-llama/llama-3.3-70b-instruct</x:v>
      </x:c>
      <x:c r="B22" s="60" t="str">
        <x:v>Base</x:v>
      </x:c>
      <x:c r="C22" s="46" t="n">
        <x:v>0.7833333333333333</x:v>
      </x:c>
      <x:c r="D22" s="52" t="n">
        <x:v>0.0010648166666666664</x:v>
      </x:c>
      <x:c r="E22" s="52" t="n">
        <x:f>(1-C22)*$B$5</x:f>
        <x:v>1.6466666666666667</x:v>
      </x:c>
      <x:c r="F22" s="52" t="n">
        <x:f>D22+E22</x:f>
        <x:v>1.6477314833333334</x:v>
      </x:c>
      <x:c r="G22" s="54" t="n">
        <x:f>F22*$B$4+$B$6</x:f>
        <x:v>13181.851866666668</x:v>
      </x:c>
      <x:c r="H22" s="22" t="str"/>
    </x:row>
    <x:row r="23">
      <x:c r="A23" s="59" t="str">
        <x:v>meta-llama/llama-3.3-70b-instruct</x:v>
      </x:c>
      <x:c r="B23" s="60" t="str">
        <x:v>+10 pp</x:v>
      </x:c>
      <x:c r="C23" s="46" t="n">
        <x:v>0.8833333333333333</x:v>
      </x:c>
      <x:c r="D23" s="52" t="n">
        <x:v>0.0010648166666666664</x:v>
      </x:c>
      <x:c r="E23" s="52" t="n">
        <x:f>(1-C23)*$B$5</x:f>
        <x:v>0.8866666666666668</x:v>
      </x:c>
      <x:c r="F23" s="52" t="n">
        <x:f>D23+E23</x:f>
        <x:v>0.8877314833333335</x:v>
      </x:c>
      <x:c r="G23" s="54" t="n">
        <x:f>F23*$B$4+$B$6</x:f>
        <x:v>7101.851866666668</x:v>
      </x:c>
      <x:c r="H23" s="22" t="str"/>
    </x:row>
    <x:row r="24">
      <x:c r="A24" s="59" t="str">
        <x:v>mistralai/mistral-small-2603</x:v>
      </x:c>
      <x:c r="B24" s="60" t="str">
        <x:v>-10 pp</x:v>
      </x:c>
      <x:c r="C24" s="46" t="n">
        <x:v>0.4833333333333334</x:v>
      </x:c>
      <x:c r="D24" s="52" t="n">
        <x:v>0.0015218324999999996</x:v>
      </x:c>
      <x:c r="E24" s="52" t="n">
        <x:f>(1-C24)*$B$5</x:f>
        <x:v>3.926666666666666</x:v>
      </x:c>
      <x:c r="F24" s="52" t="n">
        <x:f>D24+E24</x:f>
        <x:v>3.928188499166666</x:v>
      </x:c>
      <x:c r="G24" s="54" t="n">
        <x:f>F24*$B$4+$B$6</x:f>
        <x:v>31425.507993333325</x:v>
      </x:c>
      <x:c r="H24" s="22" t="str"/>
    </x:row>
    <x:row r="25">
      <x:c r="A25" s="59" t="str">
        <x:v>mistralai/mistral-small-2603</x:v>
      </x:c>
      <x:c r="B25" s="60" t="str">
        <x:v>Base</x:v>
      </x:c>
      <x:c r="C25" s="46" t="n">
        <x:v>0.5833333333333334</x:v>
      </x:c>
      <x:c r="D25" s="52" t="n">
        <x:v>0.0015218324999999996</x:v>
      </x:c>
      <x:c r="E25" s="52" t="n">
        <x:f>(1-C25)*$B$5</x:f>
        <x:v>3.166666666666666</x:v>
      </x:c>
      <x:c r="F25" s="52" t="n">
        <x:f>D25+E25</x:f>
        <x:v>3.168188499166666</x:v>
      </x:c>
      <x:c r="G25" s="54" t="n">
        <x:f>F25*$B$4+$B$6</x:f>
        <x:v>25345.50799333333</x:v>
      </x:c>
      <x:c r="H25" s="22" t="str"/>
    </x:row>
    <x:row r="26">
      <x:c r="A26" s="59" t="str">
        <x:v>mistralai/mistral-small-2603</x:v>
      </x:c>
      <x:c r="B26" s="60" t="str">
        <x:v>+10 pp</x:v>
      </x:c>
      <x:c r="C26" s="46" t="n">
        <x:v>0.6833333333333333</x:v>
      </x:c>
      <x:c r="D26" s="52" t="n">
        <x:v>0.0015218324999999996</x:v>
      </x:c>
      <x:c r="E26" s="52" t="n">
        <x:f>(1-C26)*$B$5</x:f>
        <x:v>2.4066666666666663</x:v>
      </x:c>
      <x:c r="F26" s="52" t="n">
        <x:f>D26+E26</x:f>
        <x:v>2.408188499166666</x:v>
      </x:c>
      <x:c r="G26" s="54" t="n">
        <x:f>F26*$B$4+$B$6</x:f>
        <x:v>19265.50799333333</x:v>
      </x:c>
      <x:c r="H26" s="22" t="str"/>
    </x:row>
    <x:row r="27">
      <x:c r="A27" s="59" t="str">
        <x:v>qwen/qwen3-30b-a3b-instruct-2507</x:v>
      </x:c>
      <x:c r="B27" s="60" t="str">
        <x:v>-10 pp</x:v>
      </x:c>
      <x:c r="C27" s="46" t="n">
        <x:v>0.5</x:v>
      </x:c>
      <x:c r="D27" s="52" t="n">
        <x:v>0.00045425676666666667</x:v>
      </x:c>
      <x:c r="E27" s="52" t="n">
        <x:f>(1-C27)*$B$5</x:f>
        <x:v>3.8</x:v>
      </x:c>
      <x:c r="F27" s="52" t="n">
        <x:f>D27+E27</x:f>
        <x:v>3.8004542567666664</x:v>
      </x:c>
      <x:c r="G27" s="54" t="n">
        <x:f>F27*$B$4+$B$6</x:f>
        <x:v>30403.63405413333</x:v>
      </x:c>
      <x:c r="H27" s="22" t="str">
        <x:v>Cheapest Layer 1 API model after Qwen was added; success rate remains the key constraint.</x:v>
      </x:c>
    </x:row>
    <x:row r="28">
      <x:c r="A28" s="59" t="str">
        <x:v>qwen/qwen3-30b-a3b-instruct-2507</x:v>
      </x:c>
      <x:c r="B28" s="60" t="str">
        <x:v>Base</x:v>
      </x:c>
      <x:c r="C28" s="46" t="n">
        <x:v>0.6</x:v>
      </x:c>
      <x:c r="D28" s="52" t="n">
        <x:v>0.00045425676666666667</x:v>
      </x:c>
      <x:c r="E28" s="52" t="n">
        <x:f>(1-C28)*$B$5</x:f>
        <x:v>3.04</x:v>
      </x:c>
      <x:c r="F28" s="52" t="n">
        <x:f>D28+E28</x:f>
        <x:v>3.0404542567666666</x:v>
      </x:c>
      <x:c r="G28" s="54" t="n">
        <x:f>F28*$B$4+$B$6</x:f>
        <x:v>24323.634054133334</x:v>
      </x:c>
      <x:c r="H28" s="22" t="str">
        <x:v>Cheapest Layer 1 API model after Qwen was added; success rate remains the key constraint.</x:v>
      </x:c>
    </x:row>
    <x:row r="29">
      <x:c r="A29" s="61" t="str">
        <x:v>qwen/qwen3-30b-a3b-instruct-2507</x:v>
      </x:c>
      <x:c r="B29" s="62" t="str">
        <x:v>+10 pp</x:v>
      </x:c>
      <x:c r="C29" s="63" t="n">
        <x:v>0.7</x:v>
      </x:c>
      <x:c r="D29" s="66" t="n">
        <x:v>0.00045425676666666667</x:v>
      </x:c>
      <x:c r="E29" s="66" t="n">
        <x:f>(1-C29)*$B$5</x:f>
        <x:v>2.2800000000000002</x:v>
      </x:c>
      <x:c r="F29" s="66" t="n">
        <x:f>D29+E29</x:f>
        <x:v>2.280454256766667</x:v>
      </x:c>
      <x:c r="G29" s="67" t="n">
        <x:f>F29*$B$4+$B$6</x:f>
        <x:v>18243.634054133334</x:v>
      </x:c>
      <x:c r="H29" s="25" t="str">
        <x:v>Cheapest Layer 1 API model after Qwen was added; success rate remains the key constraint.</x:v>
      </x:c>
    </x:row>
    <x:row r="32">
      <x:c r="A32" s="82" t="str">
        <x:v>Primary D6 sensitivity interpretation</x:v>
      </x:c>
      <x:c r="B32" s="82"/>
      <x:c r="C32" s="82"/>
      <x:c r="D32" s="82"/>
      <x:c r="E32" s="82"/>
      <x:c r="F32" s="82"/>
      <x:c r="G32" s="82"/>
      <x:c r="H32" s="82"/>
    </x:row>
    <x:row r="33">
      <x:c r="A33" s="117" t="str">
        <x:v>Gemini base monthly cost is about $4,082.66. At -10 pp success rate it rises to about $10,162.66. Because DeepSeek's base monthly cost is about $6,099.63, the conclusion that Gemini is the lowest-cost choice does not survive the full -10 pp sensitivity range.</x:v>
      </x:c>
      <x:c r="B33" s="117"/>
      <x:c r="C33" s="117"/>
      <x:c r="D33" s="117"/>
      <x:c r="E33" s="117"/>
      <x:c r="F33" s="117"/>
      <x:c r="G33" s="117"/>
      <x:c r="H33" s="117"/>
    </x:row>
    <x:row r="34">
      <x:c r="A34" s="117"/>
      <x:c r="B34" s="117"/>
      <x:c r="C34" s="117"/>
      <x:c r="D34" s="117"/>
      <x:c r="E34" s="117"/>
      <x:c r="F34" s="117"/>
      <x:c r="G34" s="117"/>
      <x:c r="H34" s="117"/>
    </x:row>
  </x:sheetData>
  <x:mergeCells>
    <x:mergeCell ref="A1:H1"/>
    <x:mergeCell ref="A32:H32"/>
    <x:mergeCell ref="A33:H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7" hidden="0" customWidth="1"/>
    <x:col min="4" max="4" width="22" hidden="0" customWidth="1"/>
    <x:col min="5" max="5" width="19" hidden="0" customWidth="1"/>
    <x:col min="6" max="6" width="20" hidden="0" customWidth="1"/>
    <x:col min="7" max="7" width="20" hidden="0" customWidth="1"/>
    <x:col min="8" max="8" width="16" hidden="0" customWidth="1"/>
    <x:col min="9" max="9" width="21" hidden="0" customWidth="1"/>
  </x:cols>
  <x:sheetData>
    <x:row r="1">
      <x:c r="A1" s="5" t="str">
        <x:v>D6 Break-even Success-Rate Analysis</x:v>
      </x:c>
      <x:c r="B1" s="5"/>
      <x:c r="C1" s="5"/>
      <x:c r="D1" s="5"/>
      <x:c r="E1" s="5"/>
      <x:c r="F1" s="5"/>
      <x:c r="G1" s="5"/>
      <x:c r="H1" s="5"/>
      <x:c r="I1" s="5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3">
      <x:c r="A3" s="107" t="str">
        <x:v>Assumption</x:v>
      </x:c>
      <x:c r="B3" s="108" t="str">
        <x:v>Value</x:v>
      </x:c>
      <x:c r="C3" s="109" t="str">
        <x:v>Unit</x:v>
      </x:c>
    </x:row>
    <x:row r="4">
      <x:c r="A4" s="123" t="str">
        <x:v>Failure cost</x:v>
      </x:c>
      <x:c r="B4" s="121" t="n">
        <x:v>7.6</x:v>
      </x:c>
      <x:c r="C4" s="124" t="str">
        <x:v>USD/failure</x:v>
      </x:c>
    </x:row>
    <x:row r="5">
      <x:c r="A5" s="125" t="str">
        <x:v>Comparison rule</x:v>
      </x:c>
      <x:c r="B5" s="62" t="str">
        <x:v>p_break_even = 1 - (E - C) / F</x:v>
      </x:c>
      <x:c r="C5" s="127" t="str">
        <x:v>C=cheap Layer1; E=reference all-in cost</x:v>
      </x:c>
    </x:row>
    <x:row r="7">
      <x:c r="A7" s="56" t="str">
        <x:v>Cheap API Model</x:v>
      </x:c>
      <x:c r="B7" s="57" t="str">
        <x:v>Reference Model</x:v>
      </x:c>
      <x:c r="C7" s="57" t="str">
        <x:v>Cheap Layer 1</x:v>
      </x:c>
      <x:c r="D7" s="57" t="str">
        <x:v>Reference All-in Cost/Task</x:v>
      </x:c>
      <x:c r="E7" s="57" t="str">
        <x:v>Required Success Rate</x:v>
      </x:c>
      <x:c r="F7" s="57" t="str">
        <x:v>Cheap Current Success Rate</x:v>
      </x:c>
      <x:c r="G7" s="57" t="str">
        <x:v>Shortfall / Surplus (pp)</x:v>
      </x:c>
      <x:c r="H7" s="57" t="str">
        <x:v>Threshold Status</x:v>
      </x:c>
      <x:c r="I7" s="58" t="str">
        <x:v>Current Cheap Cost ≤ Reference?</x:v>
      </x:c>
    </x:row>
    <x:row r="8">
      <x:c r="A8" s="59" t="str">
        <x:v>qwen/qwen3-30b-a3b-instruct-2507</x:v>
      </x:c>
      <x:c r="B8" s="60" t="str">
        <x:v>meta-llama/llama-3.3-70b-instruct</x:v>
      </x:c>
      <x:c r="C8" s="52" t="n">
        <x:f>'Model Cost Comparison'!I17</x:f>
        <x:v>0.00045425676666666667</x:v>
      </x:c>
      <x:c r="D8" s="52" t="n">
        <x:f>'Model Cost Comparison'!K15</x:f>
        <x:v>1.6477314833333334</x:v>
      </x:c>
      <x:c r="E8" s="46" t="n">
        <x:f>1-(D8-C8)/$B$4</x:f>
        <x:v>0.783252996504386</x:v>
      </x:c>
      <x:c r="F8" s="46" t="n">
        <x:f>'Model Cost Comparison'!D17</x:f>
        <x:v>0.6</x:v>
      </x:c>
      <x:c r="G8" s="133" t="n">
        <x:f>(F8-E8)*100</x:f>
        <x:v>-18.3252996504386</x:v>
      </x:c>
      <x:c r="H8" s="60" t="str">
        <x:v>feasible</x:v>
      </x:c>
      <x:c r="I8" s="124" t="b">
        <x:f>'Model Cost Comparison'!K17&lt;='Model Cost Comparison'!K15</x:f>
        <x:v>0</x:v>
      </x:c>
    </x:row>
    <x:row r="9">
      <x:c r="A9" s="59" t="str">
        <x:v>qwen/qwen3-30b-a3b-instruct-2507</x:v>
      </x:c>
      <x:c r="B9" s="60" t="str">
        <x:v>openai/gpt-4o-mini</x:v>
      </x:c>
      <x:c r="C9" s="52" t="n">
        <x:f>'Model Cost Comparison'!I17</x:f>
        <x:v>0.00045425676666666667</x:v>
      </x:c>
      <x:c r="D9" s="52" t="n">
        <x:f>'Model Cost Comparison'!K11</x:f>
        <x:v>1.90130524</x:v>
      </x:c>
      <x:c r="E9" s="46" t="n">
        <x:f>1-(D9-C9)/$B$4</x:f>
        <x:v>0.7498880285219298</x:v>
      </x:c>
      <x:c r="F9" s="46" t="n">
        <x:f>'Model Cost Comparison'!D17</x:f>
        <x:v>0.6</x:v>
      </x:c>
      <x:c r="G9" s="133" t="n">
        <x:f>(F9-E9)*100</x:f>
        <x:v>-14.988802852192984</x:v>
      </x:c>
      <x:c r="H9" s="60" t="str">
        <x:v>feasible</x:v>
      </x:c>
      <x:c r="I9" s="124" t="b">
        <x:f>'Model Cost Comparison'!K17&lt;='Model Cost Comparison'!K11</x:f>
        <x:v>0</x:v>
      </x:c>
    </x:row>
    <x:row r="10">
      <x:c r="A10" s="59" t="str">
        <x:v>qwen/qwen3-30b-a3b-instruct-2507</x:v>
      </x:c>
      <x:c r="B10" s="60" t="str">
        <x:v>mistralai/mistral-small-2603</x:v>
      </x:c>
      <x:c r="C10" s="52" t="n">
        <x:f>'Model Cost Comparison'!I17</x:f>
        <x:v>0.00045425676666666667</x:v>
      </x:c>
      <x:c r="D10" s="52" t="n">
        <x:f>'Model Cost Comparison'!K16</x:f>
        <x:v>3.168188499166666</x:v>
      </x:c>
      <x:c r="E10" s="46" t="n">
        <x:f>1-(D10-C10)/$B$4</x:f>
        <x:v>0.5831928628421053</x:v>
      </x:c>
      <x:c r="F10" s="46" t="n">
        <x:f>'Model Cost Comparison'!D17</x:f>
        <x:v>0.6</x:v>
      </x:c>
      <x:c r="G10" s="133" t="n">
        <x:f>(F10-E10)*100</x:f>
        <x:v>1.6807137157894725</x:v>
      </x:c>
      <x:c r="H10" s="60" t="str">
        <x:v>feasible</x:v>
      </x:c>
      <x:c r="I10" s="124" t="b">
        <x:f>'Model Cost Comparison'!K17&lt;='Model Cost Comparison'!K16</x:f>
        <x:v>1</x:v>
      </x:c>
    </x:row>
    <x:row r="11">
      <x:c r="A11" s="59" t="str">
        <x:v>qwen/qwen3-30b-a3b-instruct-2507</x:v>
      </x:c>
      <x:c r="B11" s="60" t="str">
        <x:v>deepseek/deepseek-chat-v3.1</x:v>
      </x:c>
      <x:c r="C11" s="52" t="n">
        <x:f>'Model Cost Comparison'!I17</x:f>
        <x:v>0.00045425676666666667</x:v>
      </x:c>
      <x:c r="D11" s="52" t="n">
        <x:f>'Model Cost Comparison'!K14</x:f>
        <x:v>0.7624538599999998</x:v>
      </x:c>
      <x:c r="E11" s="46" t="n">
        <x:f>1-(D11-C11)/$B$4</x:f>
        <x:v>0.8997368943114035</x:v>
      </x:c>
      <x:c r="F11" s="46" t="n">
        <x:f>'Model Cost Comparison'!D17</x:f>
        <x:v>0.6</x:v>
      </x:c>
      <x:c r="G11" s="133" t="n">
        <x:f>(F11-E11)*100</x:f>
        <x:v>-29.97368943114035</x:v>
      </x:c>
      <x:c r="H11" s="60" t="str">
        <x:v>feasible</x:v>
      </x:c>
      <x:c r="I11" s="124" t="b">
        <x:f>'Model Cost Comparison'!K17&lt;='Model Cost Comparison'!K14</x:f>
        <x:v>0</x:v>
      </x:c>
    </x:row>
    <x:row r="12">
      <x:c r="A12" s="59" t="str">
        <x:v>qwen/qwen3-30b-a3b-instruct-2507</x:v>
      </x:c>
      <x:c r="B12" s="60" t="str">
        <x:v>amazon/nova-2-lite-v1</x:v>
      </x:c>
      <x:c r="C12" s="52" t="n">
        <x:f>'Model Cost Comparison'!I17</x:f>
        <x:v>0.00045425676666666667</x:v>
      </x:c>
      <x:c r="D12" s="52" t="n">
        <x:f>'Model Cost Comparison'!K12</x:f>
        <x:v>2.2828850000000003</x:v>
      </x:c>
      <x:c r="E12" s="46" t="n">
        <x:f>1-(D12-C12)/$B$4</x:f>
        <x:v>0.699680165364035</x:v>
      </x:c>
      <x:c r="F12" s="46" t="n">
        <x:f>'Model Cost Comparison'!D17</x:f>
        <x:v>0.6</x:v>
      </x:c>
      <x:c r="G12" s="133" t="n">
        <x:f>(F12-E12)*100</x:f>
        <x:v>-9.968016536403502</x:v>
      </x:c>
      <x:c r="H12" s="60" t="str">
        <x:v>feasible</x:v>
      </x:c>
      <x:c r="I12" s="124" t="b">
        <x:f>'Model Cost Comparison'!K17&lt;='Model Cost Comparison'!K12</x:f>
        <x:v>0</x:v>
      </x:c>
    </x:row>
    <x:row r="13">
      <x:c r="A13" s="59" t="str">
        <x:v>qwen/qwen3-30b-a3b-instruct-2507</x:v>
      </x:c>
      <x:c r="B13" s="60" t="str">
        <x:v>google/gemini-2.5-flash</x:v>
      </x:c>
      <x:c r="C13" s="52" t="n">
        <x:f>'Model Cost Comparison'!I17</x:f>
        <x:v>0.00045425676666666667</x:v>
      </x:c>
      <x:c r="D13" s="52" t="n">
        <x:f>'Model Cost Comparison'!K13</x:f>
        <x:v>0.5103319266666665</x:v>
      </x:c>
      <x:c r="E13" s="46" t="n">
        <x:f>1-(D13-C13)/$B$4</x:f>
        <x:v>0.9329108329078948</x:v>
      </x:c>
      <x:c r="F13" s="46" t="n">
        <x:f>'Model Cost Comparison'!D17</x:f>
        <x:v>0.6</x:v>
      </x:c>
      <x:c r="G13" s="133" t="n">
        <x:f>(F13-E13)*100</x:f>
        <x:v>-33.29108329078948</x:v>
      </x:c>
      <x:c r="H13" s="60" t="str">
        <x:v>feasible</x:v>
      </x:c>
      <x:c r="I13" s="124" t="b">
        <x:f>'Model Cost Comparison'!K17&lt;='Model Cost Comparison'!K13</x:f>
        <x:v>0</x:v>
      </x:c>
    </x:row>
    <x:row r="14">
      <x:c r="A14" s="59" t="str">
        <x:v>meta-llama/llama-3.3-70b-instruct</x:v>
      </x:c>
      <x:c r="B14" s="60" t="str">
        <x:v>openai/gpt-4o-mini</x:v>
      </x:c>
      <x:c r="C14" s="52" t="n">
        <x:f>'Model Cost Comparison'!I15</x:f>
        <x:v>0.0010648166666666664</x:v>
      </x:c>
      <x:c r="D14" s="52" t="n">
        <x:f>'Model Cost Comparison'!K11</x:f>
        <x:v>1.90130524</x:v>
      </x:c>
      <x:c r="E14" s="46" t="n">
        <x:f>1-(D14-C14)/$B$4</x:f>
        <x:v>0.7499683653508772</x:v>
      </x:c>
      <x:c r="F14" s="46" t="n">
        <x:f>'Model Cost Comparison'!D15</x:f>
        <x:v>0.7833333333333333</x:v>
      </x:c>
      <x:c r="G14" s="133" t="n">
        <x:f>(F14-E14)*100</x:f>
        <x:v>3.336496798245614</x:v>
      </x:c>
      <x:c r="H14" s="60" t="str">
        <x:v>feasible</x:v>
      </x:c>
      <x:c r="I14" s="124" t="b">
        <x:f>'Model Cost Comparison'!K15&lt;='Model Cost Comparison'!K11</x:f>
        <x:v>1</x:v>
      </x:c>
    </x:row>
    <x:row r="15">
      <x:c r="A15" s="59" t="str">
        <x:v>meta-llama/llama-3.3-70b-instruct</x:v>
      </x:c>
      <x:c r="B15" s="60" t="str">
        <x:v>mistralai/mistral-small-2603</x:v>
      </x:c>
      <x:c r="C15" s="52" t="n">
        <x:f>'Model Cost Comparison'!I15</x:f>
        <x:v>0.0010648166666666664</x:v>
      </x:c>
      <x:c r="D15" s="52" t="n">
        <x:f>'Model Cost Comparison'!K16</x:f>
        <x:v>3.168188499166666</x:v>
      </x:c>
      <x:c r="E15" s="46" t="n">
        <x:f>1-(D15-C15)/$B$4</x:f>
        <x:v>0.5832731996710527</x:v>
      </x:c>
      <x:c r="F15" s="46" t="n">
        <x:f>'Model Cost Comparison'!D15</x:f>
        <x:v>0.7833333333333333</x:v>
      </x:c>
      <x:c r="G15" s="133" t="n">
        <x:f>(F15-E15)*100</x:f>
        <x:v>20.00601336622806</x:v>
      </x:c>
      <x:c r="H15" s="60" t="str">
        <x:v>feasible</x:v>
      </x:c>
      <x:c r="I15" s="124" t="b">
        <x:f>'Model Cost Comparison'!K15&lt;='Model Cost Comparison'!K16</x:f>
        <x:v>1</x:v>
      </x:c>
    </x:row>
    <x:row r="16">
      <x:c r="A16" s="59" t="str">
        <x:v>meta-llama/llama-3.3-70b-instruct</x:v>
      </x:c>
      <x:c r="B16" s="60" t="str">
        <x:v>deepseek/deepseek-chat-v3.1</x:v>
      </x:c>
      <x:c r="C16" s="52" t="n">
        <x:f>'Model Cost Comparison'!I15</x:f>
        <x:v>0.0010648166666666664</x:v>
      </x:c>
      <x:c r="D16" s="52" t="n">
        <x:f>'Model Cost Comparison'!K14</x:f>
        <x:v>0.7624538599999998</x:v>
      </x:c>
      <x:c r="E16" s="46" t="n">
        <x:f>1-(D16-C16)/$B$4</x:f>
        <x:v>0.899817231140351</x:v>
      </x:c>
      <x:c r="F16" s="46" t="n">
        <x:f>'Model Cost Comparison'!D15</x:f>
        <x:v>0.7833333333333333</x:v>
      </x:c>
      <x:c r="G16" s="133" t="n">
        <x:f>(F16-E16)*100</x:f>
        <x:v>-11.648389780701763</x:v>
      </x:c>
      <x:c r="H16" s="60" t="str">
        <x:v>feasible</x:v>
      </x:c>
      <x:c r="I16" s="124" t="b">
        <x:f>'Model Cost Comparison'!K15&lt;='Model Cost Comparison'!K14</x:f>
        <x:v>0</x:v>
      </x:c>
    </x:row>
    <x:row r="17">
      <x:c r="A17" s="59" t="str">
        <x:v>meta-llama/llama-3.3-70b-instruct</x:v>
      </x:c>
      <x:c r="B17" s="60" t="str">
        <x:v>amazon/nova-2-lite-v1</x:v>
      </x:c>
      <x:c r="C17" s="52" t="n">
        <x:f>'Model Cost Comparison'!I15</x:f>
        <x:v>0.0010648166666666664</x:v>
      </x:c>
      <x:c r="D17" s="52" t="n">
        <x:f>'Model Cost Comparison'!K12</x:f>
        <x:v>2.2828850000000003</x:v>
      </x:c>
      <x:c r="E17" s="46" t="n">
        <x:f>1-(D17-C17)/$B$4</x:f>
        <x:v>0.6997605021929825</x:v>
      </x:c>
      <x:c r="F17" s="46" t="n">
        <x:f>'Model Cost Comparison'!D15</x:f>
        <x:v>0.7833333333333333</x:v>
      </x:c>
      <x:c r="G17" s="133" t="n">
        <x:f>(F17-E17)*100</x:f>
        <x:v>8.357283114035086</x:v>
      </x:c>
      <x:c r="H17" s="60" t="str">
        <x:v>feasible</x:v>
      </x:c>
      <x:c r="I17" s="124" t="b">
        <x:f>'Model Cost Comparison'!K15&lt;='Model Cost Comparison'!K12</x:f>
        <x:v>1</x:v>
      </x:c>
    </x:row>
    <x:row r="18">
      <x:c r="A18" s="59" t="str">
        <x:v>meta-llama/llama-3.3-70b-instruct</x:v>
      </x:c>
      <x:c r="B18" s="60" t="str">
        <x:v>google/gemini-2.5-flash</x:v>
      </x:c>
      <x:c r="C18" s="52" t="n">
        <x:f>'Model Cost Comparison'!I15</x:f>
        <x:v>0.0010648166666666664</x:v>
      </x:c>
      <x:c r="D18" s="52" t="n">
        <x:f>'Model Cost Comparison'!K13</x:f>
        <x:v>0.5103319266666665</x:v>
      </x:c>
      <x:c r="E18" s="46" t="n">
        <x:f>1-(D18-C18)/$B$4</x:f>
        <x:v>0.9329911697368422</x:v>
      </x:c>
      <x:c r="F18" s="46" t="n">
        <x:f>'Model Cost Comparison'!D15</x:f>
        <x:v>0.7833333333333333</x:v>
      </x:c>
      <x:c r="G18" s="133" t="n">
        <x:f>(F18-E18)*100</x:f>
        <x:v>-14.965783640350882</x:v>
      </x:c>
      <x:c r="H18" s="60" t="str">
        <x:v>feasible</x:v>
      </x:c>
      <x:c r="I18" s="124" t="b">
        <x:f>'Model Cost Comparison'!K15&lt;='Model Cost Comparison'!K13</x:f>
        <x:v>0</x:v>
      </x:c>
    </x:row>
    <x:row r="19">
      <x:c r="A19" s="59" t="str">
        <x:v>openai/gpt-4o-mini</x:v>
      </x:c>
      <x:c r="B19" s="60" t="str">
        <x:v>mistralai/mistral-small-2603</x:v>
      </x:c>
      <x:c r="C19" s="52" t="n">
        <x:f>'Model Cost Comparison'!I11</x:f>
        <x:v>0.0013052399999999996</x:v>
      </x:c>
      <x:c r="D19" s="52" t="n">
        <x:f>'Model Cost Comparison'!K16</x:f>
        <x:v>3.168188499166666</x:v>
      </x:c>
      <x:c r="E19" s="46" t="n">
        <x:f>1-(D19-C19)/$B$4</x:f>
        <x:v>0.5833048343201755</x:v>
      </x:c>
      <x:c r="F19" s="46" t="n">
        <x:f>'Model Cost Comparison'!D11</x:f>
        <x:v>0.75</x:v>
      </x:c>
      <x:c r="G19" s="133" t="n">
        <x:f>(F19-E19)*100</x:f>
        <x:v>16.669516567982445</x:v>
      </x:c>
      <x:c r="H19" s="60" t="str">
        <x:v>feasible</x:v>
      </x:c>
      <x:c r="I19" s="124" t="b">
        <x:f>'Model Cost Comparison'!K11&lt;='Model Cost Comparison'!K16</x:f>
        <x:v>1</x:v>
      </x:c>
    </x:row>
    <x:row r="20">
      <x:c r="A20" s="59" t="str">
        <x:v>openai/gpt-4o-mini</x:v>
      </x:c>
      <x:c r="B20" s="60" t="str">
        <x:v>deepseek/deepseek-chat-v3.1</x:v>
      </x:c>
      <x:c r="C20" s="52" t="n">
        <x:f>'Model Cost Comparison'!I11</x:f>
        <x:v>0.0013052399999999996</x:v>
      </x:c>
      <x:c r="D20" s="52" t="n">
        <x:f>'Model Cost Comparison'!K14</x:f>
        <x:v>0.7624538599999998</x:v>
      </x:c>
      <x:c r="E20" s="46" t="n">
        <x:f>1-(D20-C20)/$B$4</x:f>
        <x:v>0.8998488657894737</x:v>
      </x:c>
      <x:c r="F20" s="46" t="n">
        <x:f>'Model Cost Comparison'!D11</x:f>
        <x:v>0.75</x:v>
      </x:c>
      <x:c r="G20" s="133" t="n">
        <x:f>(F20-E20)*100</x:f>
        <x:v>-14.984886578947364</x:v>
      </x:c>
      <x:c r="H20" s="60" t="str">
        <x:v>feasible</x:v>
      </x:c>
      <x:c r="I20" s="124" t="b">
        <x:f>'Model Cost Comparison'!K11&lt;='Model Cost Comparison'!K14</x:f>
        <x:v>0</x:v>
      </x:c>
    </x:row>
    <x:row r="21">
      <x:c r="A21" s="59" t="str">
        <x:v>openai/gpt-4o-mini</x:v>
      </x:c>
      <x:c r="B21" s="60" t="str">
        <x:v>amazon/nova-2-lite-v1</x:v>
      </x:c>
      <x:c r="C21" s="52" t="n">
        <x:f>'Model Cost Comparison'!I11</x:f>
        <x:v>0.0013052399999999996</x:v>
      </x:c>
      <x:c r="D21" s="52" t="n">
        <x:f>'Model Cost Comparison'!K12</x:f>
        <x:v>2.2828850000000003</x:v>
      </x:c>
      <x:c r="E21" s="46" t="n">
        <x:f>1-(D21-C21)/$B$4</x:f>
        <x:v>0.6997921368421052</x:v>
      </x:c>
      <x:c r="F21" s="46" t="n">
        <x:f>'Model Cost Comparison'!D11</x:f>
        <x:v>0.75</x:v>
      </x:c>
      <x:c r="G21" s="133" t="n">
        <x:f>(F21-E21)*100</x:f>
        <x:v>5.020786315789483</x:v>
      </x:c>
      <x:c r="H21" s="60" t="str">
        <x:v>feasible</x:v>
      </x:c>
      <x:c r="I21" s="124" t="b">
        <x:f>'Model Cost Comparison'!K11&lt;='Model Cost Comparison'!K12</x:f>
        <x:v>1</x:v>
      </x:c>
    </x:row>
    <x:row r="22">
      <x:c r="A22" s="59" t="str">
        <x:v>openai/gpt-4o-mini</x:v>
      </x:c>
      <x:c r="B22" s="60" t="str">
        <x:v>google/gemini-2.5-flash</x:v>
      </x:c>
      <x:c r="C22" s="52" t="n">
        <x:f>'Model Cost Comparison'!I11</x:f>
        <x:v>0.0013052399999999996</x:v>
      </x:c>
      <x:c r="D22" s="52" t="n">
        <x:f>'Model Cost Comparison'!K13</x:f>
        <x:v>0.5103319266666665</x:v>
      </x:c>
      <x:c r="E22" s="46" t="n">
        <x:f>1-(D22-C22)/$B$4</x:f>
        <x:v>0.933022804385965</x:v>
      </x:c>
      <x:c r="F22" s="46" t="n">
        <x:f>'Model Cost Comparison'!D11</x:f>
        <x:v>0.75</x:v>
      </x:c>
      <x:c r="G22" s="133" t="n">
        <x:f>(F22-E22)*100</x:f>
        <x:v>-18.302280438596497</x:v>
      </x:c>
      <x:c r="H22" s="60" t="str">
        <x:v>feasible</x:v>
      </x:c>
      <x:c r="I22" s="124" t="b">
        <x:f>'Model Cost Comparison'!K11&lt;='Model Cost Comparison'!K13</x:f>
        <x:v>0</x:v>
      </x:c>
    </x:row>
    <x:row r="23">
      <x:c r="A23" s="59" t="str">
        <x:v>mistralai/mistral-small-2603</x:v>
      </x:c>
      <x:c r="B23" s="60" t="str">
        <x:v>deepseek/deepseek-chat-v3.1</x:v>
      </x:c>
      <x:c r="C23" s="52" t="n">
        <x:f>'Model Cost Comparison'!I16</x:f>
        <x:v>0.0015218324999999996</x:v>
      </x:c>
      <x:c r="D23" s="52" t="n">
        <x:f>'Model Cost Comparison'!K14</x:f>
        <x:v>0.7624538599999998</x:v>
      </x:c>
      <x:c r="E23" s="46" t="n">
        <x:f>1-(D23-C23)/$B$4</x:f>
        <x:v>0.8998773648026316</x:v>
      </x:c>
      <x:c r="F23" s="46" t="n">
        <x:f>'Model Cost Comparison'!D16</x:f>
        <x:v>0.5833333333333334</x:v>
      </x:c>
      <x:c r="G23" s="133" t="n">
        <x:f>(F23-E23)*100</x:f>
        <x:v>-31.654403146929823</x:v>
      </x:c>
      <x:c r="H23" s="60" t="str">
        <x:v>feasible</x:v>
      </x:c>
      <x:c r="I23" s="124" t="b">
        <x:f>'Model Cost Comparison'!K16&lt;='Model Cost Comparison'!K14</x:f>
        <x:v>0</x:v>
      </x:c>
    </x:row>
    <x:row r="24">
      <x:c r="A24" s="59" t="str">
        <x:v>mistralai/mistral-small-2603</x:v>
      </x:c>
      <x:c r="B24" s="60" t="str">
        <x:v>amazon/nova-2-lite-v1</x:v>
      </x:c>
      <x:c r="C24" s="52" t="n">
        <x:f>'Model Cost Comparison'!I16</x:f>
        <x:v>0.0015218324999999996</x:v>
      </x:c>
      <x:c r="D24" s="52" t="n">
        <x:f>'Model Cost Comparison'!K12</x:f>
        <x:v>2.2828850000000003</x:v>
      </x:c>
      <x:c r="E24" s="46" t="n">
        <x:f>1-(D24-C24)/$B$4</x:f>
        <x:v>0.6998206358552631</x:v>
      </x:c>
      <x:c r="F24" s="46" t="n">
        <x:f>'Model Cost Comparison'!D16</x:f>
        <x:v>0.5833333333333334</x:v>
      </x:c>
      <x:c r="G24" s="133" t="n">
        <x:f>(F24-E24)*100</x:f>
        <x:v>-11.648730252192973</x:v>
      </x:c>
      <x:c r="H24" s="60" t="str">
        <x:v>feasible</x:v>
      </x:c>
      <x:c r="I24" s="124" t="b">
        <x:f>'Model Cost Comparison'!K16&lt;='Model Cost Comparison'!K12</x:f>
        <x:v>0</x:v>
      </x:c>
    </x:row>
    <x:row r="25">
      <x:c r="A25" s="59" t="str">
        <x:v>mistralai/mistral-small-2603</x:v>
      </x:c>
      <x:c r="B25" s="60" t="str">
        <x:v>google/gemini-2.5-flash</x:v>
      </x:c>
      <x:c r="C25" s="52" t="n">
        <x:f>'Model Cost Comparison'!I16</x:f>
        <x:v>0.0015218324999999996</x:v>
      </x:c>
      <x:c r="D25" s="52" t="n">
        <x:f>'Model Cost Comparison'!K13</x:f>
        <x:v>0.5103319266666665</x:v>
      </x:c>
      <x:c r="E25" s="46" t="n">
        <x:f>1-(D25-C25)/$B$4</x:f>
        <x:v>0.9330513033991228</x:v>
      </x:c>
      <x:c r="F25" s="46" t="n">
        <x:f>'Model Cost Comparison'!D16</x:f>
        <x:v>0.5833333333333334</x:v>
      </x:c>
      <x:c r="G25" s="133" t="n">
        <x:f>(F25-E25)*100</x:f>
        <x:v>-34.97179700657894</x:v>
      </x:c>
      <x:c r="H25" s="60" t="str">
        <x:v>feasible</x:v>
      </x:c>
      <x:c r="I25" s="124" t="b">
        <x:f>'Model Cost Comparison'!K16&lt;='Model Cost Comparison'!K13</x:f>
        <x:v>0</x:v>
      </x:c>
    </x:row>
    <x:row r="26">
      <x:c r="A26" s="59" t="str">
        <x:v>deepseek/deepseek-chat-v3.1</x:v>
      </x:c>
      <x:c r="B26" s="60" t="str">
        <x:v>amazon/nova-2-lite-v1</x:v>
      </x:c>
      <x:c r="C26" s="52" t="n">
        <x:f>'Model Cost Comparison'!I14</x:f>
        <x:v>0.00245386</x:v>
      </x:c>
      <x:c r="D26" s="52" t="n">
        <x:f>'Model Cost Comparison'!K12</x:f>
        <x:v>2.2828850000000003</x:v>
      </x:c>
      <x:c r="E26" s="46" t="n">
        <x:f>1-(D26-C26)/$B$4</x:f>
        <x:v>0.6999432710526315</x:v>
      </x:c>
      <x:c r="F26" s="46" t="n">
        <x:f>'Model Cost Comparison'!D14</x:f>
        <x:v>0.9</x:v>
      </x:c>
      <x:c r="G26" s="133" t="n">
        <x:f>(F26-E26)*100</x:f>
        <x:v>20.005672894736847</x:v>
      </x:c>
      <x:c r="H26" s="60" t="str">
        <x:v>feasible</x:v>
      </x:c>
      <x:c r="I26" s="124" t="b">
        <x:f>'Model Cost Comparison'!K14&lt;='Model Cost Comparison'!K12</x:f>
        <x:v>1</x:v>
      </x:c>
    </x:row>
    <x:row r="27">
      <x:c r="A27" s="59" t="str">
        <x:v>deepseek/deepseek-chat-v3.1</x:v>
      </x:c>
      <x:c r="B27" s="60" t="str">
        <x:v>google/gemini-2.5-flash</x:v>
      </x:c>
      <x:c r="C27" s="52" t="n">
        <x:f>'Model Cost Comparison'!I14</x:f>
        <x:v>0.00245386</x:v>
      </x:c>
      <x:c r="D27" s="52" t="n">
        <x:f>'Model Cost Comparison'!K13</x:f>
        <x:v>0.5103319266666665</x:v>
      </x:c>
      <x:c r="E27" s="46" t="n">
        <x:f>1-(D27-C27)/$B$4</x:f>
        <x:v>0.9331739385964912</x:v>
      </x:c>
      <x:c r="F27" s="46" t="n">
        <x:f>'Model Cost Comparison'!D14</x:f>
        <x:v>0.9</x:v>
      </x:c>
      <x:c r="G27" s="133" t="n">
        <x:f>(F27-E27)*100</x:f>
        <x:v>-3.3173938596491204</x:v>
      </x:c>
      <x:c r="H27" s="60" t="str">
        <x:v>feasible</x:v>
      </x:c>
      <x:c r="I27" s="124" t="b">
        <x:f>'Model Cost Comparison'!K14&lt;='Model Cost Comparison'!K13</x:f>
        <x:v>0</x:v>
      </x:c>
    </x:row>
    <x:row r="28">
      <x:c r="A28" s="61" t="str">
        <x:v>amazon/nova-2-lite-v1</x:v>
      </x:c>
      <x:c r="B28" s="62" t="str">
        <x:v>google/gemini-2.5-flash</x:v>
      </x:c>
      <x:c r="C28" s="66" t="n">
        <x:f>'Model Cost Comparison'!I12</x:f>
        <x:v>0.002885</x:v>
      </x:c>
      <x:c r="D28" s="66" t="n">
        <x:f>'Model Cost Comparison'!K13</x:f>
        <x:v>0.5103319266666665</x:v>
      </x:c>
      <x:c r="E28" s="63" t="n">
        <x:f>1-(D28-C28)/$B$4</x:f>
        <x:v>0.9332306675438596</x:v>
      </x:c>
      <x:c r="F28" s="63" t="n">
        <x:f>'Model Cost Comparison'!D12</x:f>
        <x:v>0.7</x:v>
      </x:c>
      <x:c r="G28" s="135" t="n">
        <x:f>(F28-E28)*100</x:f>
        <x:v>-23.32306675438597</x:v>
      </x:c>
      <x:c r="H28" s="62" t="str">
        <x:v>feasible</x:v>
      </x:c>
      <x:c r="I28" s="127" t="b">
        <x:f>'Model Cost Comparison'!K12&lt;='Model Cost Comparison'!K13</x:f>
        <x:v>0</x:v>
      </x:c>
    </x:row>
    <x:row r="31">
      <x:c r="A31" s="82" t="str">
        <x:v>Primary comparison after adding Qwen</x:v>
      </x:c>
      <x:c r="B31" s="82"/>
      <x:c r="C31" s="82"/>
      <x:c r="D31" s="82"/>
      <x:c r="E31" s="82"/>
      <x:c r="F31" s="82"/>
      <x:c r="G31" s="82"/>
      <x:c r="H31" s="82"/>
      <x:c r="I31" s="82"/>
    </x:row>
    <x:row r="32">
      <x:c r="A32" s="137" t="str">
        <x:v>Cheap API model</x:v>
      </x:c>
      <x:c r="B32" s="138" t="str">
        <x:v>qwen/qwen3-30b-a3b-instruct-2507</x:v>
      </x:c>
      <x:c r="C32" s="139" t="str"/>
      <x:c r="E32" s="117" t="str">
        <x:v>Qwen has the lowest Layer 1 API cost, but its current success rate is 60.00%. To match Gemini's current all-in expected cost, Qwen would need about 93.29%, a shortfall of 33.29 percentage points.</x:v>
      </x:c>
      <x:c r="F32" s="117"/>
      <x:c r="G32" s="117"/>
      <x:c r="H32" s="117"/>
      <x:c r="I32" s="117"/>
    </x:row>
    <x:row r="33">
      <x:c r="A33" s="123" t="str">
        <x:v>Reference model</x:v>
      </x:c>
      <x:c r="B33" s="60" t="str">
        <x:v>google/gemini-2.5-flash</x:v>
      </x:c>
      <x:c r="C33" s="124" t="str"/>
      <x:c r="E33" s="117"/>
      <x:c r="F33" s="117"/>
      <x:c r="G33" s="117"/>
      <x:c r="H33" s="117"/>
      <x:c r="I33" s="117"/>
    </x:row>
    <x:row r="34">
      <x:c r="A34" s="123" t="str">
        <x:v>Required Qwen success rate</x:v>
      </x:c>
      <x:c r="B34" s="46" t="n">
        <x:v>0.9329108329078948</x:v>
      </x:c>
      <x:c r="C34" s="124" t="str">
        <x:v>break-even</x:v>
      </x:c>
      <x:c r="E34" s="117"/>
      <x:c r="F34" s="117"/>
      <x:c r="G34" s="117"/>
      <x:c r="H34" s="117"/>
      <x:c r="I34" s="117"/>
    </x:row>
    <x:row r="35">
      <x:c r="A35" s="125" t="str">
        <x:v>Qwen actual success rate</x:v>
      </x:c>
      <x:c r="B35" s="63" t="n">
        <x:v>0.6</x:v>
      </x:c>
      <x:c r="C35" s="127" t="str">
        <x:v>short by 33.29 pp</x:v>
      </x:c>
      <x:c r="E35" s="117"/>
      <x:c r="F35" s="117"/>
      <x:c r="G35" s="117"/>
      <x:c r="H35" s="117"/>
      <x:c r="I35" s="117"/>
    </x:row>
  </x:sheetData>
  <x:mergeCells>
    <x:mergeCell ref="A1:I1"/>
    <x:mergeCell ref="A31:I31"/>
    <x:mergeCell ref="E32:I35"/>
  </x:mergeCells>
  <x:pageMargins left="0.7" right="0.7" top="0.75" bottom="0.75" header="0.3" footer="0.3"/>
</x:worksheet>
</file>